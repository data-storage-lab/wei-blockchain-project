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00DB6997-E0A1-48EC-83BA-019FD219DD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L7" i="1"/>
  <c r="M18" i="1"/>
  <c r="L18" i="1"/>
  <c r="M17" i="1"/>
  <c r="L17" i="1"/>
  <c r="M16" i="1"/>
  <c r="L16" i="1"/>
  <c r="M15" i="1"/>
  <c r="L15" i="1"/>
  <c r="M14" i="1"/>
  <c r="L14" i="1"/>
  <c r="M6" i="1"/>
  <c r="L6" i="1"/>
  <c r="M5" i="1"/>
  <c r="L5" i="1"/>
  <c r="M4" i="1"/>
  <c r="L4" i="1"/>
  <c r="M3" i="1"/>
  <c r="L3" i="1"/>
</calcChain>
</file>

<file path=xl/sharedStrings.xml><?xml version="1.0" encoding="utf-8"?>
<sst xmlns="http://schemas.openxmlformats.org/spreadsheetml/2006/main" count="104" uniqueCount="31">
  <si>
    <t>Baseline setup:</t>
  </si>
  <si>
    <t>Results (TPS: 150, txDuration: 900, Assets: 5000)</t>
  </si>
  <si>
    <t>Org</t>
  </si>
  <si>
    <t>Peer</t>
  </si>
  <si>
    <t>CPU</t>
  </si>
  <si>
    <t>RAM</t>
  </si>
  <si>
    <t>CPU Total</t>
  </si>
  <si>
    <t>RAM Total</t>
  </si>
  <si>
    <t>CPU Total Per Org</t>
  </si>
  <si>
    <t>RAM Total Per Org</t>
  </si>
  <si>
    <t>Successful Txn</t>
  </si>
  <si>
    <t>Goodput</t>
  </si>
  <si>
    <t>Success rate (%)</t>
  </si>
  <si>
    <t>Avg Latency</t>
  </si>
  <si>
    <t>Org1</t>
  </si>
  <si>
    <t>Peer1 (Fabric, endorser)</t>
  </si>
  <si>
    <t>4 cores</t>
  </si>
  <si>
    <t>8 GB</t>
  </si>
  <si>
    <t>8 cores</t>
  </si>
  <si>
    <t>16 GB</t>
  </si>
  <si>
    <t>16 cores</t>
  </si>
  <si>
    <t>32 GB</t>
  </si>
  <si>
    <t>Peer1 (CouchDB)</t>
  </si>
  <si>
    <t>Peer2 (Fabric, non-endorser)</t>
  </si>
  <si>
    <t>Peer2 (CouchDB)</t>
  </si>
  <si>
    <t>Org2</t>
  </si>
  <si>
    <t>Imbalanced setup 1</t>
  </si>
  <si>
    <t>6 cores</t>
  </si>
  <si>
    <t>12 cores</t>
  </si>
  <si>
    <t>24 cores</t>
  </si>
  <si>
    <t>2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</si>
</sst>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D1" workbookViewId="0">
      <selection activeCell="K7" sqref="K7:N7"/>
    </sheetView>
  </sheetViews>
  <sheetFormatPr defaultRowHeight="15"/>
  <cols>
    <col min="1" max="1" width="14" bestFit="1" customWidth="1"/>
    <col min="2" max="2" width="25.85546875" bestFit="1" customWidth="1"/>
    <col min="5" max="5" width="9.42578125" bestFit="1" customWidth="1"/>
    <col min="6" max="6" width="10" bestFit="1" customWidth="1"/>
    <col min="7" max="7" width="16.85546875" customWidth="1"/>
    <col min="8" max="8" width="17" bestFit="1" customWidth="1"/>
    <col min="11" max="11" width="14.85546875" customWidth="1"/>
    <col min="12" max="12" width="12.7109375" customWidth="1"/>
    <col min="13" max="13" width="15.42578125" customWidth="1"/>
    <col min="14" max="14" width="11.28515625" bestFit="1" customWidth="1"/>
  </cols>
  <sheetData>
    <row r="1" spans="1:14">
      <c r="A1" s="16" t="s">
        <v>0</v>
      </c>
      <c r="B1" s="16"/>
      <c r="C1" s="16"/>
      <c r="D1" s="16"/>
      <c r="E1" s="16"/>
      <c r="F1" s="16"/>
      <c r="G1" s="16"/>
      <c r="H1" s="16"/>
      <c r="K1" s="13" t="s">
        <v>1</v>
      </c>
      <c r="L1" s="13"/>
      <c r="M1" s="13"/>
      <c r="N1" s="13"/>
    </row>
    <row r="2" spans="1:14" ht="19.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7" t="s">
        <v>8</v>
      </c>
      <c r="H2" s="8" t="s">
        <v>9</v>
      </c>
      <c r="K2" s="9" t="s">
        <v>10</v>
      </c>
      <c r="L2" s="10" t="s">
        <v>11</v>
      </c>
      <c r="M2" s="10" t="s">
        <v>12</v>
      </c>
      <c r="N2" s="10" t="s">
        <v>13</v>
      </c>
    </row>
    <row r="3" spans="1:14">
      <c r="A3" s="12" t="s">
        <v>14</v>
      </c>
      <c r="B3" s="2" t="s">
        <v>15</v>
      </c>
      <c r="C3" s="1" t="s">
        <v>16</v>
      </c>
      <c r="D3" s="1" t="s">
        <v>17</v>
      </c>
      <c r="E3" s="12" t="s">
        <v>18</v>
      </c>
      <c r="F3" s="18" t="s">
        <v>19</v>
      </c>
      <c r="G3" s="14" t="s">
        <v>20</v>
      </c>
      <c r="H3" s="14" t="s">
        <v>21</v>
      </c>
      <c r="K3" s="10">
        <v>119119</v>
      </c>
      <c r="L3" s="10">
        <f>K3/900</f>
        <v>132.35444444444445</v>
      </c>
      <c r="M3" s="10">
        <f>(K3/135010)*100</f>
        <v>88.229760758462334</v>
      </c>
      <c r="N3" s="10">
        <v>4.51</v>
      </c>
    </row>
    <row r="4" spans="1:14">
      <c r="A4" s="12"/>
      <c r="B4" s="2" t="s">
        <v>22</v>
      </c>
      <c r="C4" s="1" t="s">
        <v>16</v>
      </c>
      <c r="D4" s="1" t="s">
        <v>17</v>
      </c>
      <c r="E4" s="12"/>
      <c r="F4" s="18"/>
      <c r="G4" s="12"/>
      <c r="H4" s="12"/>
      <c r="K4" s="10">
        <v>119357</v>
      </c>
      <c r="L4" s="10">
        <f>K4/900</f>
        <v>132.61888888888888</v>
      </c>
      <c r="M4" s="10">
        <f>(K4/135010)*100</f>
        <v>88.406043996740976</v>
      </c>
      <c r="N4" s="10">
        <v>4.5199999999999996</v>
      </c>
    </row>
    <row r="5" spans="1:14">
      <c r="A5" s="12"/>
      <c r="B5" s="2" t="s">
        <v>23</v>
      </c>
      <c r="C5" s="1" t="s">
        <v>16</v>
      </c>
      <c r="D5" s="1" t="s">
        <v>17</v>
      </c>
      <c r="E5" s="12" t="s">
        <v>18</v>
      </c>
      <c r="F5" s="18" t="s">
        <v>19</v>
      </c>
      <c r="G5" s="12"/>
      <c r="H5" s="12"/>
      <c r="K5" s="10">
        <v>119144</v>
      </c>
      <c r="L5" s="10">
        <f>K5/900</f>
        <v>132.38222222222223</v>
      </c>
      <c r="M5" s="10">
        <f>(K5/135010)*100</f>
        <v>88.248277905340345</v>
      </c>
      <c r="N5" s="10">
        <v>4.58</v>
      </c>
    </row>
    <row r="6" spans="1:14">
      <c r="A6" s="12"/>
      <c r="B6" s="2" t="s">
        <v>24</v>
      </c>
      <c r="C6" s="1" t="s">
        <v>16</v>
      </c>
      <c r="D6" s="1" t="s">
        <v>17</v>
      </c>
      <c r="E6" s="12"/>
      <c r="F6" s="18"/>
      <c r="G6" s="12"/>
      <c r="H6" s="12"/>
      <c r="K6" s="11">
        <v>119294</v>
      </c>
      <c r="L6" s="11">
        <f>K6/900</f>
        <v>132.54888888888888</v>
      </c>
      <c r="M6" s="11">
        <f>(K6/135010)*100</f>
        <v>88.359380786608398</v>
      </c>
      <c r="N6" s="11">
        <v>4.5599999999999996</v>
      </c>
    </row>
    <row r="7" spans="1:14">
      <c r="A7" s="12" t="s">
        <v>25</v>
      </c>
      <c r="B7" s="2" t="s">
        <v>15</v>
      </c>
      <c r="C7" s="1" t="s">
        <v>16</v>
      </c>
      <c r="D7" s="1" t="s">
        <v>17</v>
      </c>
      <c r="E7" s="12" t="s">
        <v>18</v>
      </c>
      <c r="F7" s="18" t="s">
        <v>19</v>
      </c>
      <c r="G7" s="12" t="s">
        <v>20</v>
      </c>
      <c r="H7" s="12" t="s">
        <v>21</v>
      </c>
      <c r="K7" s="10">
        <v>119251</v>
      </c>
      <c r="L7" s="10">
        <f>K7/900</f>
        <v>132.5011111111111</v>
      </c>
      <c r="M7" s="10">
        <f>(K7/135010)*100</f>
        <v>88.327531293978225</v>
      </c>
      <c r="N7" s="10">
        <v>4.55</v>
      </c>
    </row>
    <row r="8" spans="1:14">
      <c r="A8" s="12"/>
      <c r="B8" s="2" t="s">
        <v>22</v>
      </c>
      <c r="C8" s="1" t="s">
        <v>16</v>
      </c>
      <c r="D8" s="1" t="s">
        <v>17</v>
      </c>
      <c r="E8" s="12"/>
      <c r="F8" s="18"/>
      <c r="G8" s="12"/>
      <c r="H8" s="12"/>
    </row>
    <row r="9" spans="1:14">
      <c r="A9" s="12"/>
      <c r="B9" s="2" t="s">
        <v>23</v>
      </c>
      <c r="C9" s="1" t="s">
        <v>16</v>
      </c>
      <c r="D9" s="1" t="s">
        <v>17</v>
      </c>
      <c r="E9" s="12" t="s">
        <v>18</v>
      </c>
      <c r="F9" s="18" t="s">
        <v>19</v>
      </c>
      <c r="G9" s="12"/>
      <c r="H9" s="12"/>
    </row>
    <row r="10" spans="1:14">
      <c r="A10" s="12"/>
      <c r="B10" s="2" t="s">
        <v>24</v>
      </c>
      <c r="C10" s="1" t="s">
        <v>16</v>
      </c>
      <c r="D10" s="1" t="s">
        <v>17</v>
      </c>
      <c r="E10" s="12"/>
      <c r="F10" s="18"/>
      <c r="G10" s="12"/>
      <c r="H10" s="12"/>
    </row>
    <row r="12" spans="1:14">
      <c r="A12" s="17" t="s">
        <v>26</v>
      </c>
      <c r="B12" s="17"/>
      <c r="C12" s="17"/>
      <c r="D12" s="17"/>
      <c r="E12" s="17"/>
      <c r="F12" s="17"/>
      <c r="G12" s="17"/>
      <c r="H12" s="17"/>
      <c r="K12" s="15" t="s">
        <v>1</v>
      </c>
      <c r="L12" s="15"/>
      <c r="M12" s="15"/>
      <c r="N12" s="15"/>
    </row>
    <row r="13" spans="1:14">
      <c r="A13" s="1" t="s">
        <v>2</v>
      </c>
      <c r="B13" s="1" t="s">
        <v>3</v>
      </c>
      <c r="C13" s="1" t="s">
        <v>4</v>
      </c>
      <c r="D13" s="1" t="s">
        <v>5</v>
      </c>
      <c r="E13" s="1" t="s">
        <v>6</v>
      </c>
      <c r="F13" s="1" t="s">
        <v>7</v>
      </c>
      <c r="G13" s="3" t="s">
        <v>8</v>
      </c>
      <c r="H13" s="4" t="s">
        <v>9</v>
      </c>
      <c r="K13" s="9" t="s">
        <v>10</v>
      </c>
      <c r="L13" s="10" t="s">
        <v>11</v>
      </c>
      <c r="M13" s="10" t="s">
        <v>12</v>
      </c>
      <c r="N13" s="10" t="s">
        <v>13</v>
      </c>
    </row>
    <row r="14" spans="1:14">
      <c r="A14" s="12" t="s">
        <v>14</v>
      </c>
      <c r="B14" s="2" t="s">
        <v>15</v>
      </c>
      <c r="C14" s="1" t="s">
        <v>27</v>
      </c>
      <c r="D14" s="1" t="s">
        <v>17</v>
      </c>
      <c r="E14" s="12" t="s">
        <v>28</v>
      </c>
      <c r="F14" s="12" t="s">
        <v>19</v>
      </c>
      <c r="G14" s="14" t="s">
        <v>29</v>
      </c>
      <c r="H14" s="14" t="s">
        <v>21</v>
      </c>
      <c r="K14" s="10">
        <v>112492</v>
      </c>
      <c r="L14" s="10">
        <f>K14/900</f>
        <v>124.99111111111111</v>
      </c>
      <c r="M14" s="10">
        <f>(K14/135010)*100</f>
        <v>83.321235464039702</v>
      </c>
      <c r="N14" s="10">
        <v>0.24</v>
      </c>
    </row>
    <row r="15" spans="1:14">
      <c r="A15" s="12"/>
      <c r="B15" s="2" t="s">
        <v>22</v>
      </c>
      <c r="C15" s="1" t="s">
        <v>27</v>
      </c>
      <c r="D15" s="1" t="s">
        <v>17</v>
      </c>
      <c r="E15" s="12"/>
      <c r="F15" s="12"/>
      <c r="G15" s="12"/>
      <c r="H15" s="12"/>
      <c r="K15" s="10">
        <v>112522</v>
      </c>
      <c r="L15" s="10">
        <f>K15/900</f>
        <v>125.02444444444444</v>
      </c>
      <c r="M15" s="10">
        <f>(K15/135010)*100</f>
        <v>83.343456040293304</v>
      </c>
      <c r="N15" s="10">
        <v>0.24</v>
      </c>
    </row>
    <row r="16" spans="1:14">
      <c r="A16" s="12"/>
      <c r="B16" s="2" t="s">
        <v>23</v>
      </c>
      <c r="C16" s="1" t="s">
        <v>27</v>
      </c>
      <c r="D16" s="1" t="s">
        <v>17</v>
      </c>
      <c r="E16" s="12" t="s">
        <v>28</v>
      </c>
      <c r="F16" s="12" t="s">
        <v>19</v>
      </c>
      <c r="G16" s="12"/>
      <c r="H16" s="12"/>
      <c r="K16" s="10">
        <v>116062</v>
      </c>
      <c r="L16" s="10">
        <f>K16/900</f>
        <v>128.95777777777778</v>
      </c>
      <c r="M16" s="10">
        <f>(K16/135010)*100</f>
        <v>85.965484038219387</v>
      </c>
      <c r="N16" s="10">
        <v>0.24</v>
      </c>
    </row>
    <row r="17" spans="1:14">
      <c r="A17" s="12"/>
      <c r="B17" s="2" t="s">
        <v>24</v>
      </c>
      <c r="C17" s="1" t="s">
        <v>27</v>
      </c>
      <c r="D17" s="1" t="s">
        <v>17</v>
      </c>
      <c r="E17" s="12"/>
      <c r="F17" s="12"/>
      <c r="G17" s="12"/>
      <c r="H17" s="12"/>
      <c r="K17" s="11">
        <v>116512</v>
      </c>
      <c r="L17" s="11">
        <f>K17/900</f>
        <v>129.45777777777778</v>
      </c>
      <c r="M17" s="11">
        <f>(K17/135010)*100</f>
        <v>86.298792682023546</v>
      </c>
      <c r="N17" s="11">
        <v>0.24</v>
      </c>
    </row>
    <row r="18" spans="1:14">
      <c r="A18" s="12" t="s">
        <v>25</v>
      </c>
      <c r="B18" s="2" t="s">
        <v>15</v>
      </c>
      <c r="C18" s="1" t="s">
        <v>30</v>
      </c>
      <c r="D18" s="1" t="s">
        <v>17</v>
      </c>
      <c r="E18" s="12" t="s">
        <v>16</v>
      </c>
      <c r="F18" s="12" t="s">
        <v>19</v>
      </c>
      <c r="G18" s="12" t="s">
        <v>18</v>
      </c>
      <c r="H18" s="12" t="s">
        <v>21</v>
      </c>
      <c r="K18" s="10">
        <v>115816</v>
      </c>
      <c r="L18" s="10">
        <f>K18/900</f>
        <v>128.68444444444444</v>
      </c>
      <c r="M18" s="10">
        <f>(K18/135010)*100</f>
        <v>85.783275312939779</v>
      </c>
      <c r="N18" s="10">
        <v>0.24</v>
      </c>
    </row>
    <row r="19" spans="1:14">
      <c r="A19" s="12"/>
      <c r="B19" s="2" t="s">
        <v>22</v>
      </c>
      <c r="C19" s="1" t="s">
        <v>30</v>
      </c>
      <c r="D19" s="1" t="s">
        <v>17</v>
      </c>
      <c r="E19" s="12"/>
      <c r="F19" s="12"/>
      <c r="G19" s="12"/>
      <c r="H19" s="12"/>
    </row>
    <row r="20" spans="1:14">
      <c r="A20" s="12"/>
      <c r="B20" s="2" t="s">
        <v>23</v>
      </c>
      <c r="C20" s="1" t="s">
        <v>30</v>
      </c>
      <c r="D20" s="1" t="s">
        <v>17</v>
      </c>
      <c r="E20" s="12" t="s">
        <v>16</v>
      </c>
      <c r="F20" s="12" t="s">
        <v>19</v>
      </c>
      <c r="G20" s="12"/>
      <c r="H20" s="12"/>
    </row>
    <row r="21" spans="1:14">
      <c r="A21" s="12"/>
      <c r="B21" s="2" t="s">
        <v>24</v>
      </c>
      <c r="C21" s="1" t="s">
        <v>30</v>
      </c>
      <c r="D21" s="1" t="s">
        <v>17</v>
      </c>
      <c r="E21" s="12"/>
      <c r="F21" s="12"/>
      <c r="G21" s="12"/>
      <c r="H21" s="12"/>
    </row>
  </sheetData>
  <mergeCells count="32">
    <mergeCell ref="A12:H12"/>
    <mergeCell ref="E9:E10"/>
    <mergeCell ref="F9:F10"/>
    <mergeCell ref="A3:A6"/>
    <mergeCell ref="A7:A10"/>
    <mergeCell ref="E3:E4"/>
    <mergeCell ref="F3:F4"/>
    <mergeCell ref="E5:E6"/>
    <mergeCell ref="F5:F6"/>
    <mergeCell ref="E7:E8"/>
    <mergeCell ref="F7:F8"/>
    <mergeCell ref="A18:A21"/>
    <mergeCell ref="E18:E19"/>
    <mergeCell ref="F18:F19"/>
    <mergeCell ref="E20:E21"/>
    <mergeCell ref="F20:F21"/>
    <mergeCell ref="G18:G21"/>
    <mergeCell ref="H18:H21"/>
    <mergeCell ref="K1:N1"/>
    <mergeCell ref="G3:G6"/>
    <mergeCell ref="H3:H6"/>
    <mergeCell ref="G7:G10"/>
    <mergeCell ref="H7:H10"/>
    <mergeCell ref="G14:G17"/>
    <mergeCell ref="H14:H17"/>
    <mergeCell ref="K12:N12"/>
    <mergeCell ref="A1:H1"/>
    <mergeCell ref="A14:A17"/>
    <mergeCell ref="E14:E15"/>
    <mergeCell ref="F14:F15"/>
    <mergeCell ref="E16:E17"/>
    <mergeCell ref="F16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2026-01-25T20:54:42Z</dcterms:created>
  <dcterms:modified xsi:type="dcterms:W3CDTF">2026-01-28T04:01:32Z</dcterms:modified>
  <cp:category/>
  <cp:contentStatus/>
</cp:coreProperties>
</file>